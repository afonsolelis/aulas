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BL" sheetId="1" r:id="rId4"/>
    <sheet state="visible" name="Avaliação" sheetId="2" r:id="rId5"/>
    <sheet state="visible" name="Materiais necessários" sheetId="3" r:id="rId6"/>
  </sheets>
  <definedNames/>
  <calcPr/>
  <extLst>
    <ext uri="GoogleSheetsCustomDataVersion2">
      <go:sheetsCustomData xmlns:go="http://customooxmlschemas.google.com/" r:id="rId7" roundtripDataChecksum="HNnCqMeVMehHDssIKn2vMX6qzHBVCJVLdng8YWLMAXI="/>
    </ext>
  </extLst>
</workbook>
</file>

<file path=xl/sharedStrings.xml><?xml version="1.0" encoding="utf-8"?>
<sst xmlns="http://schemas.openxmlformats.org/spreadsheetml/2006/main" count="304" uniqueCount="137">
  <si>
    <t>Meta Projeto</t>
  </si>
  <si>
    <t>IA &amp; Branding: Criação de Agente para Geração de Imagens Alinhadas à Identidade de Marca</t>
  </si>
  <si>
    <t>Estrutura pedagógica</t>
  </si>
  <si>
    <t>[EB] Projeto Pedagógico InteliCamp - Janeiro 2026</t>
  </si>
  <si>
    <t>DIA 1 - SEGUNDA</t>
  </si>
  <si>
    <t>Atividade:</t>
  </si>
  <si>
    <t>1</t>
  </si>
  <si>
    <t>Título:</t>
  </si>
  <si>
    <t>Abertura e Contextualização</t>
  </si>
  <si>
    <t>!!INSTRUÇÕES DO DIA 1 ACONTECERÃO APENAS APÓS O ALMOÇO, GALERA VAI ESTAR COM A ENERGIA BAIXA!! (Pois eles que aumentem essa energia rs!!!)</t>
  </si>
  <si>
    <t>Duração:</t>
  </si>
  <si>
    <t>1h</t>
  </si>
  <si>
    <t>Tipo:</t>
  </si>
  <si>
    <t>Instrução</t>
  </si>
  <si>
    <t>Descrição:</t>
  </si>
  <si>
    <t>Apresentação do desafio Mars/Snickers e da metodologia Inteli.</t>
  </si>
  <si>
    <t>Planejamento (Metodologia Ativa):</t>
  </si>
  <si>
    <t>Expor o problema da inconsistência visual em IAs. Explicar a dinâmica do Inteli Camp.</t>
  </si>
  <si>
    <t>2 - Tech</t>
  </si>
  <si>
    <t>2 - Empreendedorismo</t>
  </si>
  <si>
    <t>Conteúdos principais:
Estrutura do projeto no Lovable (páginas, componentes e fluxo de conversa).
Configuração do agente (persona, escopo, tom, limites e mensagens de fallback).
Conexão do front-end com o agente (inputs, histórico, estados de carregamento/erro).
Publicação/compartilhamento: geração de URL e validação de acesso externo.
Entregável da aula: um chat MVP com UI mínima (campo de texto, botão enviar, lista de mensagens), funcionando fora do ambiente local e pronto para demonstração.
Entregável:
Criar e publicar um agente conversacional simples, com interface web no Lovable, acessível por link público (acesso externo).</t>
  </si>
  <si>
    <r>
      <rPr>
        <rFont val="Manrope"/>
        <color theme="1"/>
        <sz val="10.0"/>
      </rPr>
      <t xml:space="preserve">No primeiro dia da trilha de Empreendedorismo, os alunos iniciarão o processo de perfilação e compreensão da empresa, a partir de uma pesquisa coletiva sobre fundamentos de construção de marca. Serão trabalhados os conceitos de Missão, Visão e Valores, promovendo uma base comum de entendimento estratégico. Em seguida, ocorre o início do trabalho em grupo, com a organização dos alunos em equipes distribuídas por mesas, destinadas ao complemento e aprofundamento das pesquisas. A atividade evolui para um processo de Design Thinking, por meio de brainstorm orientado, no qual os grupos levantam, organizam e conectam os primeiros dados e informações relevantes. Como resultado, os alunos avançam na definição preliminar do público-alvo, ao mesmo tempo em que conhecem os conceitos fundamentais de marca e passam a compreender o que são personas e seu papel no desenvolvimento estratégico.
</t>
    </r>
    <r>
      <rPr>
        <rFont val="Manrope"/>
        <color theme="1"/>
        <sz val="10.0"/>
        <u/>
      </rPr>
      <t xml:space="preserve">Entregável:
</t>
    </r>
    <r>
      <rPr>
        <rFont val="Manrope"/>
        <color theme="1"/>
        <sz val="10.0"/>
      </rPr>
      <t>Primeira versão das Personas</t>
    </r>
  </si>
  <si>
    <t xml:space="preserve">(Perfilação e compreensão da empresa). Pesquisa Coletiva com os alunos a respeito de construção de marca. Missão, Visão e Valores. 
(Início do conceito de Trabalho em Grupo) Separação em grupos por número de alunos e mesa para complemento de pesquisas. 
(Processo de Design Thinking = Brainstorm)Levantamento e união dos primeiros dados, informações e definição do possível público - alvo.
</t>
  </si>
  <si>
    <t>3 - Tech</t>
  </si>
  <si>
    <t>3 - Empreendedorismo</t>
  </si>
  <si>
    <t>50min</t>
  </si>
  <si>
    <t>Desenvolvimento</t>
  </si>
  <si>
    <t>Trabalhar na atividade da trilha</t>
  </si>
  <si>
    <t>Durante o desenvolvimento, as atividades concentram-se na construção de consenso entre os membros da equipe, a partir do aprofundamento das definições iniciais. Com base no problema e no público-alvo já delineados, os alunos realizam a busca por perfis similares e desenvolvem os primeiros esboços de personas, utilizando os templates disponibilizados na trilha. Em seguida, o grupo passa por um processo de validação coletiva, no qual discute quais personas podem ser efetivamente atendidas pela solução proposta. Essa etapa é conduzida por meio de uma dinâmica de brainstorming, permitindo que ideias e contribuições surjam tanto da equipe Tech quanto da equipe Empreendedora, apoiando a tomada de decisão de forma colaborativa.</t>
  </si>
  <si>
    <t>(Consenso entre membros da equipe) 
A partir da definição, busca por perfis similares e construção de primeiros esboços das possíveis personas. (Usar Templates)
Validação de quais personas poderão de fato serem atendidas com a solução proposta, ideias podem vir da equipe Tech ou da equipe Empreendedora. (Brainstorm)</t>
  </si>
  <si>
    <t>DIA 2 - TERÇA</t>
  </si>
  <si>
    <t>1 - Tech</t>
  </si>
  <si>
    <t>1 - Empreendedorismo</t>
  </si>
  <si>
    <t>1h20min</t>
  </si>
  <si>
    <t>Conceitos práticos: 
endpoints, métodos (GET/POST), headers, auth, payload, status codes.
Montagem de requisições e tratamento de respostas/erros (timeouts, retries simples, mensagens amigáveis).
Criação de uma regra de negócio mensurável (ex.: validação de dados, cálculo, elegibilidade, priorização, classificação, roteamento).
Testes manuais e check-list de validação (cenários feliz + cenários de falha).
Entregável da aula: uma integração com API rodando, com 1 regra de negócio comprovadamente funcionando, documentada com exemplos de entrada/saída (inputs e outputs).
Entregável:
Integrar e validar consumo de API (real ou mock), garantindo que pelo menos uma regra de negócio esteja implementada e testada de ponta a ponta.</t>
  </si>
  <si>
    <t>No segundo dia, os alunos passam a aprender e aplicar ferramentas fundamentais de negócios, com foco na estruturação da proposta de valor. Inicialmente, o Template de Proposta de Valor é trabalhado de forma individual, permitindo que cada participante desenvolva sua compreensão sobre o problema e a solução, e, posteriormente, de maneira coletiva, promovendo alinhamento e síntese em grupo. Em seguida, os alunos conhecem e exploram os frameworks Lean Canvas e Value Proposition Canvas, aprofundando a análise estratégica do negócio. As atividades avançam para um aprofundamento da proposta de valor, com atenção especial à consistência de marca e à coerência entre discurso e solução. Como apoio à tomada de decisão, é aplicada a Matriz de Riscos, Dores e Ganhos vinculada às personas, resultando como entregável no Canvas de Proposta de Valor.</t>
  </si>
  <si>
    <t xml:space="preserve">Aprender a usar as ferramentas de Negócios: Template de Proposta de Valor (De forma individual primeiramente e coletivamente depois). Conhecer Lean Canvas e Value Proposition Canvas. </t>
  </si>
  <si>
    <t>O desenvolvimento do segundo dia é dedicado à aplicação prática dos conceitos apresentados, permitindo que cada grupo estruture suas soluções de forma coerente com a própria proposta. A partir da atividade da trilha, os alunos realizam a Análise SWOT, identificando forças, fraquezas, oportunidades e ameaças do negócio em construção. Em seguida, trabalham a estruturação do Modelo de Negócios e o Lean Canvas, organizando de maneira integrada os principais elementos estratégicos da solução. Todo o processo é conduzido com o apoio dos templates de Lean Canvas, Modelo de Negócios e Análise SWOT, garantindo clareza, consistência e comparabilidade entre os projetos desenvolvidos pelos grupos.</t>
  </si>
  <si>
    <t>Aplicar cada um dos conceitos e estruturar de forma diferente conforme proposta de cada grupo. Análise Swot, Modelo de Negócios e Lean Canvas.</t>
  </si>
  <si>
    <t>DIA 3 - QUARTA</t>
  </si>
  <si>
    <t>Autoestudo</t>
  </si>
  <si>
    <t>30min</t>
  </si>
  <si>
    <t>Material:</t>
  </si>
  <si>
    <t>Material: O que é o Canvas da Proposta de Valor ou Value Proposition Design, e como usar. - YouTube</t>
  </si>
  <si>
    <t>Importante reforçar os aprendizados com base teórica. Não apenas o vídeo a respeito da proposta de valor, mas, também a criação de personas e definição do público-alvo:O QUE É E COMO CRIAR UMA PERSONA? - YouTube</t>
  </si>
  <si>
    <t>Objetivo:</t>
  </si>
  <si>
    <t xml:space="preserve">Como preparação para o terceiro dia, os alunos realizam um autoestudo prévio com o objetivo de reforçar os aprendizados a partir de uma base teórica consolidada. Esse momento não se restringe apenas ao vídeo sobre proposta de valor, mas abrange também os conceitos de criação de personas e definição de público-alvo, a partir de materiais de referência como O que é e como criar uma persona?. A proposta do autoestudo é concretizar e aprofundar os conteúdos trabalhados nos dias anteriores, favorecendo a compreensão dos conceitos estratégicos e facilitando o desenvolvimento dos trabalhos e projetos ao longo da trilha. </t>
  </si>
  <si>
    <t>Conteúdos principais:
Estrutura de prompt: instruções fixas + variáveis (placeholders) + contexto.
Parametrização: campos (ex.: objetivo, público-alvo, tom, formato de saída, idioma, restrições).
UI/UX: formulário simples para o usuário preencher parâmetros (com validação e exemplos).
Templates: biblioteca de prompts prontos (opcional) e mecanismo de seleção.
Boas práticas: evitar prompt injection, limites do que o usuário pode alterar, padrões de resposta.
Entregável da aula: uma tela/fluxo onde o usuário consegue montar ou editar o prompt, preencher parâmetros e ver o agente respondendo com base nessa configuração.
Entregável:
tornar o agente flexível e reutilizável, permitindo prompts dinâmicos via parâmetros e/ou um espaço onde o usuário configure o próprio prompt conforme a necessidade.</t>
  </si>
  <si>
    <t>No terceiro dia, as atividades têm como foco a construção de storyboards como ferramenta para explicar o funcionamento e o uso da solução proposta, tornando visível a experiência do usuário. A partir dos princípios de Design Thinking e UX, os alunos estruturam narrativas visuais que representam os principais cenários de interação com o produto ou serviço. Em seguida, o grupo desenvolve o protótipo de papel, mapeando o fluxo do usuário de forma clara e sequencial. Esse processo permite validar ideias de maneira rápida e colaborativa, tendo como entregável o Protótipo em papel/UX, que sintetiza a lógica de uso da solução.</t>
  </si>
  <si>
    <t xml:space="preserve">Aqui a intenção é trabalhar Storyboards e por meio desta técnica explicar o funcionamento e uso da solução oferecida. </t>
  </si>
  <si>
    <t>2h20min</t>
  </si>
  <si>
    <r>
      <rPr>
        <rFont val="Manrope"/>
        <color theme="1"/>
        <sz val="10.0"/>
      </rPr>
      <t xml:space="preserve">Início do desenvolvimento do protótipo funcional
</t>
    </r>
    <r>
      <rPr>
        <rFont val="Manrope"/>
        <color theme="1"/>
        <sz val="10.0"/>
        <u/>
      </rPr>
      <t>Entregável</t>
    </r>
    <r>
      <rPr>
        <rFont val="Manrope"/>
        <color theme="1"/>
        <sz val="10.0"/>
      </rPr>
      <t>:
Protótipo funcional</t>
    </r>
  </si>
  <si>
    <t>Traduzir o protótipo de papel (UX) para a estrutura de código, integrando os prompts criados</t>
  </si>
  <si>
    <t xml:space="preserve">    </t>
  </si>
  <si>
    <t>DIA 4 - QUINTA</t>
  </si>
  <si>
    <t xml:space="preserve">Material:https://www.startse.com/artigos/pitch-o-que-e-e-como-fazer/ </t>
  </si>
  <si>
    <r>
      <rPr>
        <rFont val="Manrope"/>
        <color rgb="FF1155CC"/>
        <sz val="10.0"/>
        <u/>
      </rPr>
      <t>https://www.ted.com/talks/amy_cuddy_your_body_language_may_shape_who_you_are</t>
    </r>
    <r>
      <rPr>
        <rFont val="Manrope"/>
        <color theme="1"/>
        <sz val="10.0"/>
      </rPr>
      <t xml:space="preserve"> </t>
    </r>
  </si>
  <si>
    <t xml:space="preserve">É importante que o aluno entenda como se preparar e como estruturar sua apresentação. </t>
  </si>
  <si>
    <t>Conteúdos principais:
Definição do caso de uso (ex.: gerar capa, post social, produto, personagem, variações de estilo).
Estrutura do prompt para imagem (estilo, composição, iluminação, cores, proporção, restrições).
Pipeline: envio do pedido → processamento → retorno (URL/base64) → renderização no front-end.
Controles do usuário: tamanho/ratio, estilo, variações, seed (opcional), histórico de gerações.
Tratamento de filas/latência e estados (gerando… / pronto / falhou) + mensagens de erro.
Entregável da aula: um MVP publicável em que o usuário descreve o que quer e recebe imagens geradas, com uma UI que exibe resultados, histórico simples e opção de refazer variações.
Entregável:
Entregar um MVP com geração de imagens end-to-end: do prompt do usuário ao retorno visual no front-end.</t>
  </si>
  <si>
    <t>No quarto dia, os alunos trabalham Storytelling e estruturação de Pitch, com foco em como comunicar e vender a solução desenvolvida de forma clara, estratégica e convincente para a Mars. As atividades abordam a construção da narrativa, a organização dos argumentos e a adequação da mensagem ao perfil do cliente, conectando problema, proposta de valor e impacto da solução. Em seguida, os grupos participam de demonstrações e treinamentos práticos, exercitando apresentação, clareza e tempo de fala. Como entregável, cada equipe desenvolve o roteiro do pitch, consolidando a narrativa e a estratégia de apresentação da solução.</t>
  </si>
  <si>
    <t xml:space="preserve">Demonstração e treinamento prático. </t>
  </si>
  <si>
    <t>Preparação para o Pitch Final</t>
  </si>
  <si>
    <t>1h30min</t>
  </si>
  <si>
    <t>O desenvolvimento do quarto dia é dedicado à finalização total do projeto, integrando produto e comunicação em uma entrega coesa. Os grupos unem o MVP à apresentação, articulando slides e discurso de forma alinhada à proposta de valor definida ao longo da trilha. Esse momento é voltado ao treinamento do pitch e à preparação para a demonstração, com atenção especial à clareza, fluidez e coerência da narrativa. Como resultado, o grupo entrega um MVP testado e funcional, garantindo que a solução esteja pronta e operante para a demo ao vivo.</t>
  </si>
  <si>
    <t>O grupo une o produto (MVP) à apresentação (Slides/Discurso). Garantia de que o MVP funciona para a demo ao vivo</t>
  </si>
  <si>
    <t>DIA 5 - SEXTA</t>
  </si>
  <si>
    <t>Apresentações Finais</t>
  </si>
  <si>
    <t>Apresentação</t>
  </si>
  <si>
    <t>As apresentações consistem na exposição da solução desenvolvida, seguida da demonstração ao vivo da IA aplicada à geração de imagens alinhadas à marca. Cada grupo apresenta o conceito, o funcionamento e o valor da proposta, evidenciando a coerência entre marca, público-alvo e solução tecnológica. Após a demonstração, há um momento dedicado a feedbacks orientados, visando aprimorar a clareza, a consistência e o potencial da solução apresentada. As apresentações ocorrem em rodadas de 10 minutos, sendo 7 minutos destinados à apresentação e o tempo restante reservado para comentários e devolutivas.</t>
  </si>
  <si>
    <r>
      <rPr>
        <rFont val="Manrope"/>
        <color theme="1"/>
        <sz val="10.0"/>
      </rPr>
      <t xml:space="preserve">Apresentação da solução, demonstração ao vivo da IA gerando imagens da marca e feedback
</t>
    </r>
    <r>
      <rPr>
        <rFont val="Manrope"/>
        <color theme="1"/>
        <sz val="10.0"/>
        <u/>
      </rPr>
      <t>Rodadas de 10 minutos</t>
    </r>
    <r>
      <rPr>
        <rFont val="Manrope"/>
        <color theme="1"/>
        <sz val="10.0"/>
      </rPr>
      <t xml:space="preserve"> (7min de apresentação)</t>
    </r>
  </si>
  <si>
    <t>Desenvolvimento WEB</t>
  </si>
  <si>
    <t>[EB] Projeto Pedagógico Hackathon - Desenvolvimento WEB 2025</t>
  </si>
  <si>
    <t>Avaliação</t>
  </si>
  <si>
    <t>Critérios</t>
  </si>
  <si>
    <t>Entrega Associada</t>
  </si>
  <si>
    <t>Alcance Nível 1</t>
  </si>
  <si>
    <t>Alcance Nível 2</t>
  </si>
  <si>
    <t>Alcance Nível 3</t>
  </si>
  <si>
    <t>Alcance Nível 4</t>
  </si>
  <si>
    <t xml:space="preserve"> </t>
  </si>
  <si>
    <t>Compreender: Distinguir os princípios de UX/UI e acessibilidade na web, explicando como o design afeta a experiência do usuário.</t>
  </si>
  <si>
    <t>Roteiro de análise do site da escola</t>
  </si>
  <si>
    <t>Identifica os conceitos de UX/UI e acessibilidade, mas com descrições simples e genéricas.</t>
  </si>
  <si>
    <t>Distingue os conceitos de UX/UI e acessibilidade, aplicando o conhecimento em uma análise superficial do site original da escola.</t>
  </si>
  <si>
    <t>Explica a importância de cada conceito e justifica as escolhas de design, com base em um roteiro de observação detalhado.</t>
  </si>
  <si>
    <t>Compreende e analisa criticamente os princípios de UX/UI e acessibilidade, propondo melhorias que demonstram um entendimento profundo de como o design afeta a experiência do usuário.</t>
  </si>
  <si>
    <t>Aplicar: Empregar metodologias ágeis simplificadas para organizar tarefas, colaborar em equipe e gerenciar o desenvolvimento de um projeto.</t>
  </si>
  <si>
    <t>Organização e uso do quadro de tarefas</t>
  </si>
  <si>
    <t>Participa da organização das tarefas, com um quadro de tarefas simples e com poucas atualizações ao longo do projeto.</t>
  </si>
  <si>
    <t>Utiliza a metodologia ágil simplificada para organizar o projeto e as entregas.</t>
  </si>
  <si>
    <t>Aplica a metodologia ágil de forma consistente, com o quadro de tarefas sendo ativamente usado para gerenciar o fluxo do projeto e a divisão de papéis.</t>
  </si>
  <si>
    <t>Integra a metodologia ágil de forma fluida, utilizando o quadro de tarefas não apenas para gestão, mas também como uma ferramenta para tomar decisões e otimizar o processo de desenvolvimento.</t>
  </si>
  <si>
    <t>Analisar: Decompor o problema de reestruturação do site da escola, analisando pontos fracos e oportunidades de melhoria para desenvolver uma solução web focada no usuário.</t>
  </si>
  <si>
    <t>Mapa visual de problemas e oportunidades observadas no site atual</t>
  </si>
  <si>
    <t>Identifica alguns pontos fracos do site, mas com uma análise superficial das dores dos usuários.</t>
  </si>
  <si>
    <t>Decompõe o problema do site em pontos fracos e oportunidades de melhoria, organizando-os em um mapa visual.</t>
  </si>
  <si>
    <t>Sintetiza as informações do mapa de dores e oportunidades para propor soluções e planejar a reestruturação do site de forma detalhada.</t>
  </si>
  <si>
    <t>Analisa criticamente o problema a fundo, utilizando o mapa de dores e oportunidades para orientar de forma robusta todas as decisões de design e desenvolvimento.</t>
  </si>
  <si>
    <t>Criar: Desenvolver protótipos visuais e um site funcional com HTML e CSS, integrando design e lógica para uma solução coesa.</t>
  </si>
  <si>
    <t>Protótipo
+
Desenvolvimento do site</t>
  </si>
  <si>
    <t>Cria um protótipo visual inicial com IA e um site com uma estrutura básica de HTML e CSS que replica as funcionalidades essenciais.</t>
  </si>
  <si>
    <t>Desenvolve um protótipo visual alinhado com o problema e um site funcional com a homepage codificada em HTML/CSS.</t>
  </si>
  <si>
    <t>Constrói um protótipo visual de alta qualidade e um site funcional com homepage e subpáginas, com um bom alinhamento entre o design e a codificação.</t>
  </si>
  <si>
    <t>Entrega um protótipo visual e um site completo, coeso e polido, com funcionalidades avançadas e uma forte integração entre design e código.</t>
  </si>
  <si>
    <t>Avaliar: Conduzir sessões de feedback e iteração em tempo real, analisando as sugestões de colegas e mentores para aprimorar o projeto.</t>
  </si>
  <si>
    <t>Registro das sugestões recebidas + site atualizado com ao menos uma melhoria implementada</t>
  </si>
  <si>
    <t>Participa das sessões de feedback, registrando as informações</t>
  </si>
  <si>
    <t>Coleta o feedback dos colegas e mentores e faz melhorias básicas e pontuais no projeto</t>
  </si>
  <si>
    <t>Analisa o feedback de forma organizada e implementa mudanças significativas que aprimoram a usabilidade e a estética do site</t>
  </si>
  <si>
    <t>Conduz testes, analisando os dados coletados e realizando iterações substanciais que demonstram uma melhoria contínua do projeto.</t>
  </si>
  <si>
    <t>Apresentar: Comunicar de forma eficaz a solução proposta, o processo de desenvolvimento e o impacto do projeto por meio de um pitch claro e envolvente.</t>
  </si>
  <si>
    <t>Apresenta informações básicas sobre o projeto, com uma narrativa simples e direta</t>
  </si>
  <si>
    <t>Descreve o site de forma coesa, mas com pouca ênfase no processo de desenvolvimento.</t>
  </si>
  <si>
    <t>Comunica o pitch de forma clara e envolvente, conectando o desafio inicial à solução final.</t>
  </si>
  <si>
    <t>Entrega um pitch profissional e inspirador, que conecta o problema à solução de forma clara e vende a proposta de valor do projeto de forma convincente e memorável.</t>
  </si>
  <si>
    <t>Design</t>
  </si>
  <si>
    <t>Negócios</t>
  </si>
  <si>
    <t>Trabalho em Equipe</t>
  </si>
  <si>
    <t>Materiais necessários</t>
  </si>
  <si>
    <t>Item</t>
  </si>
  <si>
    <t>Quantidade</t>
  </si>
  <si>
    <t>Valor Unid.</t>
  </si>
  <si>
    <t>Valor Total</t>
  </si>
  <si>
    <t>Licença do Lovable</t>
  </si>
  <si>
    <t>IoF</t>
  </si>
  <si>
    <t>Licença do Padlet</t>
  </si>
  <si>
    <t>R$ 24,90</t>
  </si>
  <si>
    <t>Cartolina</t>
  </si>
  <si>
    <t>Impressões Templates (5) Lean Canvas/ Brainstorm/ Modelo de Negócios/ Análise Swot/Storyboard/ Roteirização de Pitch</t>
  </si>
  <si>
    <t>40 por template</t>
  </si>
  <si>
    <t>Post-it</t>
  </si>
  <si>
    <t>5 conjuntos</t>
  </si>
  <si>
    <t>Canetas coloridas</t>
  </si>
  <si>
    <t xml:space="preserve">Canetão para lousa </t>
  </si>
  <si>
    <t>Régua</t>
  </si>
  <si>
    <t>Cola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</si>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</sst>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9">
    <font>
      <sz val="11.0"/>
      <color theme="1"/>
      <name val="Calibri"/>
      <scheme val="minor"/>
    </font>
    <font>
      <sz val="10.0"/>
      <color theme="1"/>
      <name val="Manrope"/>
    </font>
    <font>
      <b/>
      <sz val="10.0"/>
      <color theme="1"/>
      <name val="Manrope"/>
    </font>
    <font/>
    <font>
      <u/>
      <sz val="10.0"/>
      <color rgb="FF0000FF"/>
      <name val="Manrope"/>
    </font>
    <font>
      <b/>
      <u/>
      <sz val="10.0"/>
      <color theme="1"/>
      <name val="Manrope"/>
    </font>
    <font>
      <u/>
      <sz val="10.0"/>
      <color theme="1"/>
      <name val="Manrope"/>
    </font>
    <font>
      <u/>
      <sz val="10.0"/>
      <color theme="1"/>
      <name val="Manrope"/>
    </font>
    <font>
      <b/>
      <u/>
      <sz val="10.0"/>
      <color theme="1"/>
      <name val="Manrope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8F9FA"/>
        <bgColor rgb="FFF8F9FA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999999"/>
      </top>
      <bottom style="thin">
        <color rgb="FF999999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2" fillId="0" fontId="3" numFmtId="0" xfId="0" applyBorder="1" applyFont="1"/>
    <xf borderId="1" fillId="0" fontId="2" numFmtId="49" xfId="0" applyAlignment="1" applyBorder="1" applyFont="1" applyNumberFormat="1">
      <alignment horizontal="left" readingOrder="0" vertical="center"/>
    </xf>
    <xf borderId="3" fillId="0" fontId="3" numFmtId="0" xfId="0" applyBorder="1" applyFont="1"/>
    <xf borderId="4" fillId="2" fontId="2" numFmtId="0" xfId="0" applyAlignment="1" applyBorder="1" applyFont="1">
      <alignment vertical="center"/>
    </xf>
    <xf borderId="5" fillId="0" fontId="3" numFmtId="0" xfId="0" applyBorder="1" applyFont="1"/>
    <xf borderId="3" fillId="0" fontId="4" numFmtId="49" xfId="0" applyAlignment="1" applyBorder="1" applyFont="1" applyNumberFormat="1">
      <alignment horizontal="left" readingOrder="0" vertical="center"/>
    </xf>
    <xf borderId="0" fillId="3" fontId="2" numFmtId="49" xfId="0" applyAlignment="1" applyFill="1" applyFont="1" applyNumberFormat="1">
      <alignment readingOrder="0" vertical="center"/>
    </xf>
    <xf borderId="0" fillId="0" fontId="1" numFmtId="49" xfId="0" applyAlignment="1" applyFont="1" applyNumberFormat="1">
      <alignment vertical="center"/>
    </xf>
    <xf borderId="6" fillId="2" fontId="2" numFmtId="0" xfId="0" applyAlignment="1" applyBorder="1" applyFont="1">
      <alignment vertical="center"/>
    </xf>
    <xf borderId="7" fillId="0" fontId="2" numFmtId="49" xfId="0" applyAlignment="1" applyBorder="1" applyFont="1" applyNumberFormat="1">
      <alignment horizontal="left" vertical="center"/>
    </xf>
    <xf borderId="7" fillId="0" fontId="3" numFmtId="0" xfId="0" applyBorder="1" applyFont="1"/>
    <xf borderId="7" fillId="2" fontId="2" numFmtId="0" xfId="0" applyAlignment="1" applyBorder="1" applyFont="1">
      <alignment vertical="center"/>
    </xf>
    <xf borderId="7" fillId="0" fontId="2" numFmtId="49" xfId="0" applyAlignment="1" applyBorder="1" applyFont="1" applyNumberFormat="1">
      <alignment readingOrder="0" vertical="center"/>
    </xf>
    <xf borderId="8" fillId="0" fontId="3" numFmtId="0" xfId="0" applyBorder="1" applyFont="1"/>
    <xf borderId="0" fillId="4" fontId="2" numFmtId="0" xfId="0" applyAlignment="1" applyFill="1" applyFont="1">
      <alignment readingOrder="0" shrinkToFit="0" vertical="center" wrapText="1"/>
    </xf>
    <xf borderId="9" fillId="2" fontId="2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0" fillId="2" fontId="2" numFmtId="0" xfId="0" applyAlignment="1" applyFont="1">
      <alignment vertical="center"/>
    </xf>
    <xf borderId="10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vertical="center"/>
    </xf>
    <xf borderId="12" fillId="0" fontId="3" numFmtId="0" xfId="0" applyBorder="1" applyFont="1"/>
    <xf borderId="9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4" fillId="0" fontId="1" numFmtId="49" xfId="0" applyAlignment="1" applyBorder="1" applyFont="1" applyNumberFormat="1">
      <alignment readingOrder="0" shrinkToFit="0" vertical="center" wrapText="1"/>
    </xf>
    <xf borderId="13" fillId="0" fontId="3" numFmtId="0" xfId="0" applyBorder="1" applyFont="1"/>
    <xf borderId="7" fillId="0" fontId="2" numFmtId="0" xfId="0" applyAlignment="1" applyBorder="1" applyFont="1">
      <alignment horizontal="left" readingOrder="0" vertical="center"/>
    </xf>
    <xf borderId="7" fillId="0" fontId="2" numFmtId="49" xfId="0" applyAlignment="1" applyBorder="1" applyFont="1" applyNumberFormat="1">
      <alignment vertical="center"/>
    </xf>
    <xf borderId="10" fillId="0" fontId="1" numFmtId="0" xfId="0" applyAlignment="1" applyBorder="1" applyFont="1">
      <alignment shrinkToFit="0" vertical="center" wrapText="1"/>
    </xf>
    <xf borderId="4" fillId="0" fontId="1" numFmtId="49" xfId="0" applyAlignment="1" applyBorder="1" applyFont="1" applyNumberFormat="1">
      <alignment shrinkToFit="0" vertical="center" wrapText="1"/>
    </xf>
    <xf borderId="7" fillId="0" fontId="2" numFmtId="49" xfId="0" applyAlignment="1" applyBorder="1" applyFont="1" applyNumberFormat="1">
      <alignment horizontal="left" readingOrder="0" vertical="center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9" fillId="2" fontId="2" numFmtId="0" xfId="0" applyAlignment="1" applyBorder="1" applyFont="1">
      <alignment readingOrder="0" vertical="center"/>
    </xf>
    <xf borderId="9" fillId="2" fontId="5" numFmtId="0" xfId="0" applyAlignment="1" applyBorder="1" applyFont="1">
      <alignment readingOrder="0" vertical="center"/>
    </xf>
    <xf borderId="9" fillId="0" fontId="6" numFmtId="0" xfId="0" applyAlignment="1" applyBorder="1" applyFont="1">
      <alignment readingOrder="0" shrinkToFit="0" vertical="center" wrapText="1"/>
    </xf>
    <xf borderId="9" fillId="0" fontId="7" numFmtId="0" xfId="0" applyAlignment="1" applyBorder="1" applyFont="1">
      <alignment readingOrder="0" shrinkToFit="0" vertical="center" wrapText="1"/>
    </xf>
    <xf borderId="14" fillId="2" fontId="2" numFmtId="0" xfId="0" applyAlignment="1" applyBorder="1" applyFont="1">
      <alignment vertical="center"/>
    </xf>
    <xf borderId="1" fillId="0" fontId="2" numFmtId="49" xfId="0" applyAlignment="1" applyBorder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1" fillId="0" fontId="8" numFmtId="49" xfId="0" applyAlignment="1" applyBorder="1" applyFont="1" applyNumberFormat="1">
      <alignment horizontal="left" vertical="center"/>
    </xf>
    <xf borderId="0" fillId="3" fontId="2" numFmtId="49" xfId="0" applyAlignment="1" applyFont="1" applyNumberFormat="1">
      <alignment vertical="center"/>
    </xf>
    <xf borderId="6" fillId="2" fontId="2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14" fillId="0" fontId="1" numFmtId="49" xfId="0" applyAlignment="1" applyBorder="1" applyFont="1" applyNumberFormat="1">
      <alignment shrinkToFit="0" vertical="center" wrapText="1"/>
    </xf>
    <xf borderId="14" fillId="5" fontId="1" numFmtId="0" xfId="0" applyAlignment="1" applyBorder="1" applyFill="1" applyFont="1">
      <alignment shrinkToFit="0" vertical="center" wrapText="1"/>
    </xf>
    <xf borderId="14" fillId="2" fontId="2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readingOrder="0" shrinkToFit="0" vertical="center" wrapText="1"/>
    </xf>
    <xf borderId="14" fillId="0" fontId="1" numFmtId="164" xfId="0" applyAlignment="1" applyBorder="1" applyFont="1" applyNumberFormat="1">
      <alignment horizontal="center" shrinkToFit="0" vertical="center" wrapText="1"/>
    </xf>
    <xf borderId="14" fillId="0" fontId="1" numFmtId="0" xfId="0" applyAlignment="1" applyBorder="1" applyFont="1">
      <alignment readingOrder="0" shrinkToFit="0" vertical="center" wrapText="1"/>
    </xf>
    <xf borderId="14" fillId="0" fontId="1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4" fillId="0" fontId="2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-7ObjiI8HHwC1nZzmtdj1xpmkExUGmTL2VQ0bCrQgxk/edit" TargetMode="External"/><Relationship Id="rId2" Type="http://schemas.openxmlformats.org/officeDocument/2006/relationships/hyperlink" Target="https://www.youtube.com/watch?v=Iqb-8Q_eiiA" TargetMode="External"/><Relationship Id="rId3" Type="http://schemas.openxmlformats.org/officeDocument/2006/relationships/hyperlink" Target="https://www.youtube.com/watch?v=d5g2ZcShiGQ&amp;t=178s" TargetMode="External"/><Relationship Id="rId4" Type="http://schemas.openxmlformats.org/officeDocument/2006/relationships/hyperlink" Target="https://www.ted.com/talks/amy_cuddy_your_body_language_may_shape_who_you_are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IE6VLvC9rme1OafbENt8ZoZnB5-er9PZmgw963RfQk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IE6VLvC9rme1OafbENt8ZoZnB5-er9PZmgw963RfQk/edit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6" max="6" width="27.57"/>
    <col customWidth="1" min="7" max="7" width="24.0"/>
    <col customWidth="1" min="8" max="8" width="7.14"/>
    <col customWidth="1" min="13" max="13" width="22.43"/>
    <col customWidth="1" min="14" max="14" width="24.0"/>
  </cols>
  <sheetData>
    <row r="1" ht="23.25" customHeight="1">
      <c r="A1" s="1"/>
      <c r="B1" s="2" t="s">
        <v>0</v>
      </c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 t="s">
        <v>2</v>
      </c>
      <c r="C2" s="7"/>
      <c r="D2" s="8" t="s">
        <v>3</v>
      </c>
      <c r="E2" s="5"/>
      <c r="F2" s="5"/>
      <c r="G2" s="5"/>
      <c r="H2" s="5"/>
      <c r="I2" s="5"/>
      <c r="J2" s="5"/>
      <c r="K2" s="5"/>
      <c r="L2" s="5"/>
      <c r="M2" s="5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 t="s">
        <v>6</v>
      </c>
      <c r="D5" s="13"/>
      <c r="E5" s="14" t="s">
        <v>7</v>
      </c>
      <c r="F5" s="15" t="s">
        <v>8</v>
      </c>
      <c r="G5" s="16"/>
      <c r="H5" s="1"/>
      <c r="I5" s="17" t="s">
        <v>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0"/>
      <c r="B6" s="18" t="s">
        <v>10</v>
      </c>
      <c r="C6" s="19" t="s">
        <v>11</v>
      </c>
      <c r="E6" s="20" t="s">
        <v>12</v>
      </c>
      <c r="F6" s="21" t="s">
        <v>13</v>
      </c>
      <c r="G6" s="22"/>
      <c r="H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customHeight="1">
      <c r="A7" s="10"/>
      <c r="B7" s="18" t="s">
        <v>14</v>
      </c>
      <c r="G7" s="23"/>
      <c r="H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6.0" customHeight="1">
      <c r="A8" s="10"/>
      <c r="B8" s="24" t="s">
        <v>15</v>
      </c>
      <c r="G8" s="23"/>
      <c r="H8" s="1"/>
      <c r="I8" s="25"/>
      <c r="J8" s="25"/>
      <c r="K8" s="25"/>
      <c r="L8" s="25"/>
      <c r="M8" s="2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/>
      <c r="B9" s="18" t="s">
        <v>16</v>
      </c>
      <c r="G9" s="23"/>
      <c r="H9" s="1"/>
      <c r="I9" s="25"/>
      <c r="J9" s="25"/>
      <c r="K9" s="25"/>
      <c r="L9" s="25"/>
      <c r="M9" s="2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8.25" customHeight="1">
      <c r="A10" s="1"/>
      <c r="B10" s="26" t="s">
        <v>17</v>
      </c>
      <c r="C10" s="7"/>
      <c r="D10" s="7"/>
      <c r="E10" s="7"/>
      <c r="F10" s="7"/>
      <c r="G10" s="27"/>
      <c r="H10" s="1"/>
      <c r="I10" s="25"/>
      <c r="J10" s="25"/>
      <c r="K10" s="25"/>
      <c r="L10" s="25"/>
      <c r="M10" s="2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 t="s">
        <v>5</v>
      </c>
      <c r="C12" s="28" t="s">
        <v>18</v>
      </c>
      <c r="D12" s="13"/>
      <c r="E12" s="14" t="s">
        <v>7</v>
      </c>
      <c r="F12" s="15"/>
      <c r="G12" s="16"/>
      <c r="H12" s="1"/>
      <c r="I12" s="11" t="s">
        <v>5</v>
      </c>
      <c r="J12" s="28" t="s">
        <v>19</v>
      </c>
      <c r="K12" s="13"/>
      <c r="L12" s="14" t="s">
        <v>7</v>
      </c>
      <c r="M12" s="29"/>
      <c r="N12" s="1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8" t="s">
        <v>10</v>
      </c>
      <c r="C13" s="19" t="s">
        <v>11</v>
      </c>
      <c r="E13" s="20" t="s">
        <v>12</v>
      </c>
      <c r="F13" s="30" t="s">
        <v>13</v>
      </c>
      <c r="G13" s="22"/>
      <c r="H13" s="1"/>
      <c r="I13" s="18" t="s">
        <v>10</v>
      </c>
      <c r="J13" s="19" t="s">
        <v>11</v>
      </c>
      <c r="L13" s="20" t="s">
        <v>12</v>
      </c>
      <c r="M13" s="21" t="s">
        <v>13</v>
      </c>
      <c r="N13" s="2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8" t="s">
        <v>14</v>
      </c>
      <c r="G14" s="23"/>
      <c r="H14" s="1"/>
      <c r="I14" s="18" t="s">
        <v>14</v>
      </c>
      <c r="N14" s="2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4" t="s">
        <v>20</v>
      </c>
      <c r="G15" s="23"/>
      <c r="H15" s="1"/>
      <c r="I15" s="24" t="s">
        <v>21</v>
      </c>
      <c r="N15" s="2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8" t="s">
        <v>16</v>
      </c>
      <c r="G16" s="23"/>
      <c r="H16" s="1"/>
      <c r="I16" s="18" t="s">
        <v>16</v>
      </c>
      <c r="N16" s="2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4.5" customHeight="1">
      <c r="A17" s="1"/>
      <c r="B17" s="31"/>
      <c r="C17" s="7"/>
      <c r="D17" s="7"/>
      <c r="E17" s="7"/>
      <c r="F17" s="7"/>
      <c r="G17" s="27"/>
      <c r="H17" s="1"/>
      <c r="I17" s="26" t="s">
        <v>22</v>
      </c>
      <c r="J17" s="7"/>
      <c r="K17" s="7"/>
      <c r="L17" s="7"/>
      <c r="M17" s="7"/>
      <c r="N17" s="2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 t="s">
        <v>5</v>
      </c>
      <c r="C19" s="28" t="s">
        <v>23</v>
      </c>
      <c r="D19" s="13"/>
      <c r="E19" s="14" t="s">
        <v>7</v>
      </c>
      <c r="F19" s="15"/>
      <c r="G19" s="16"/>
      <c r="H19" s="1"/>
      <c r="I19" s="11" t="s">
        <v>5</v>
      </c>
      <c r="J19" s="28" t="s">
        <v>24</v>
      </c>
      <c r="K19" s="13"/>
      <c r="L19" s="14" t="s">
        <v>7</v>
      </c>
      <c r="M19" s="15"/>
      <c r="N19" s="1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8" t="s">
        <v>10</v>
      </c>
      <c r="C20" s="19" t="s">
        <v>25</v>
      </c>
      <c r="E20" s="20" t="s">
        <v>12</v>
      </c>
      <c r="F20" s="21" t="s">
        <v>26</v>
      </c>
      <c r="G20" s="22"/>
      <c r="H20" s="1"/>
      <c r="I20" s="18" t="s">
        <v>10</v>
      </c>
      <c r="J20" s="19" t="s">
        <v>25</v>
      </c>
      <c r="L20" s="20" t="s">
        <v>12</v>
      </c>
      <c r="M20" s="21" t="s">
        <v>26</v>
      </c>
      <c r="N20" s="2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8" t="s">
        <v>14</v>
      </c>
      <c r="G21" s="23"/>
      <c r="H21" s="1"/>
      <c r="I21" s="18" t="s">
        <v>14</v>
      </c>
      <c r="N21" s="2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3.25" customHeight="1">
      <c r="A22" s="1"/>
      <c r="B22" s="24" t="s">
        <v>27</v>
      </c>
      <c r="G22" s="23"/>
      <c r="H22" s="1"/>
      <c r="I22" s="24" t="s">
        <v>28</v>
      </c>
      <c r="N22" s="2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8" t="s">
        <v>16</v>
      </c>
      <c r="G23" s="23"/>
      <c r="H23" s="1"/>
      <c r="I23" s="18" t="s">
        <v>16</v>
      </c>
      <c r="N23" s="2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71.25" customHeight="1">
      <c r="A24" s="1"/>
      <c r="B24" s="31"/>
      <c r="C24" s="7"/>
      <c r="D24" s="7"/>
      <c r="E24" s="7"/>
      <c r="F24" s="7"/>
      <c r="G24" s="27"/>
      <c r="H24" s="1"/>
      <c r="I24" s="26" t="s">
        <v>29</v>
      </c>
      <c r="J24" s="7"/>
      <c r="K24" s="7"/>
      <c r="L24" s="7"/>
      <c r="M24" s="7"/>
      <c r="N24" s="2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9" t="s">
        <v>30</v>
      </c>
      <c r="H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1" t="s">
        <v>5</v>
      </c>
      <c r="C29" s="32" t="s">
        <v>31</v>
      </c>
      <c r="D29" s="13"/>
      <c r="E29" s="14" t="s">
        <v>7</v>
      </c>
      <c r="F29" s="29"/>
      <c r="G29" s="16"/>
      <c r="H29" s="1"/>
      <c r="I29" s="11" t="s">
        <v>5</v>
      </c>
      <c r="J29" s="28" t="s">
        <v>32</v>
      </c>
      <c r="K29" s="13"/>
      <c r="L29" s="14" t="s">
        <v>7</v>
      </c>
      <c r="M29" s="29"/>
      <c r="N29" s="1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8" t="s">
        <v>10</v>
      </c>
      <c r="C30" s="19" t="s">
        <v>33</v>
      </c>
      <c r="E30" s="20" t="s">
        <v>12</v>
      </c>
      <c r="F30" s="30" t="s">
        <v>13</v>
      </c>
      <c r="G30" s="22"/>
      <c r="H30" s="1"/>
      <c r="I30" s="18" t="s">
        <v>10</v>
      </c>
      <c r="J30" s="19" t="s">
        <v>33</v>
      </c>
      <c r="L30" s="20" t="s">
        <v>12</v>
      </c>
      <c r="M30" s="30" t="s">
        <v>13</v>
      </c>
      <c r="N30" s="2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8" t="s">
        <v>14</v>
      </c>
      <c r="G31" s="23"/>
      <c r="H31" s="1"/>
      <c r="I31" s="18" t="s">
        <v>14</v>
      </c>
      <c r="N31" s="2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4" t="s">
        <v>34</v>
      </c>
      <c r="G32" s="23"/>
      <c r="H32" s="1"/>
      <c r="I32" s="24" t="s">
        <v>35</v>
      </c>
      <c r="N32" s="2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8" t="s">
        <v>16</v>
      </c>
      <c r="G33" s="23"/>
      <c r="H33" s="1"/>
      <c r="I33" s="18" t="s">
        <v>16</v>
      </c>
      <c r="N33" s="2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3.5" customHeight="1">
      <c r="A34" s="1"/>
      <c r="B34" s="33"/>
      <c r="C34" s="7"/>
      <c r="D34" s="7"/>
      <c r="E34" s="7"/>
      <c r="F34" s="7"/>
      <c r="G34" s="27"/>
      <c r="H34" s="1"/>
      <c r="I34" s="34" t="s">
        <v>36</v>
      </c>
      <c r="J34" s="7"/>
      <c r="K34" s="7"/>
      <c r="L34" s="7"/>
      <c r="M34" s="7"/>
      <c r="N34" s="2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1" t="s">
        <v>5</v>
      </c>
      <c r="C36" s="28" t="s">
        <v>23</v>
      </c>
      <c r="D36" s="13"/>
      <c r="E36" s="14" t="s">
        <v>7</v>
      </c>
      <c r="F36" s="29"/>
      <c r="G36" s="16"/>
      <c r="H36" s="1"/>
      <c r="I36" s="11" t="s">
        <v>5</v>
      </c>
      <c r="J36" s="28" t="s">
        <v>24</v>
      </c>
      <c r="K36" s="13"/>
      <c r="L36" s="14" t="s">
        <v>7</v>
      </c>
      <c r="M36" s="29"/>
      <c r="N36" s="1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8" t="s">
        <v>10</v>
      </c>
      <c r="C37" s="19" t="s">
        <v>25</v>
      </c>
      <c r="E37" s="20" t="s">
        <v>12</v>
      </c>
      <c r="F37" s="21" t="s">
        <v>26</v>
      </c>
      <c r="G37" s="22"/>
      <c r="H37" s="1"/>
      <c r="I37" s="18" t="s">
        <v>10</v>
      </c>
      <c r="J37" s="19" t="s">
        <v>25</v>
      </c>
      <c r="L37" s="20" t="s">
        <v>12</v>
      </c>
      <c r="M37" s="21" t="s">
        <v>26</v>
      </c>
      <c r="N37" s="2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8" t="s">
        <v>14</v>
      </c>
      <c r="G38" s="23"/>
      <c r="H38" s="1"/>
      <c r="I38" s="18" t="s">
        <v>14</v>
      </c>
      <c r="N38" s="2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01.25" customHeight="1">
      <c r="A39" s="1"/>
      <c r="B39" s="24" t="s">
        <v>27</v>
      </c>
      <c r="G39" s="23"/>
      <c r="H39" s="1"/>
      <c r="I39" s="24" t="s">
        <v>37</v>
      </c>
      <c r="N39" s="2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8" t="s">
        <v>16</v>
      </c>
      <c r="G40" s="23"/>
      <c r="H40" s="1"/>
      <c r="I40" s="18" t="s">
        <v>16</v>
      </c>
      <c r="N40" s="2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40.5" customHeight="1">
      <c r="A41" s="1"/>
      <c r="B41" s="34"/>
      <c r="C41" s="7"/>
      <c r="D41" s="7"/>
      <c r="E41" s="7"/>
      <c r="F41" s="7"/>
      <c r="G41" s="27"/>
      <c r="H41" s="1"/>
      <c r="I41" s="34" t="s">
        <v>38</v>
      </c>
      <c r="J41" s="7"/>
      <c r="K41" s="7"/>
      <c r="L41" s="7"/>
      <c r="M41" s="7"/>
      <c r="N41" s="2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5"/>
      <c r="C42" s="35"/>
      <c r="D42" s="35"/>
      <c r="E42" s="35"/>
      <c r="F42" s="35"/>
      <c r="G42" s="3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9" t="s">
        <v>39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1" t="s">
        <v>5</v>
      </c>
      <c r="C45" s="28" t="s">
        <v>31</v>
      </c>
      <c r="D45" s="13"/>
      <c r="E45" s="14" t="s">
        <v>7</v>
      </c>
      <c r="F45" s="15" t="s">
        <v>40</v>
      </c>
      <c r="G45" s="16"/>
      <c r="H45" s="1"/>
      <c r="I45" s="11" t="s">
        <v>5</v>
      </c>
      <c r="J45" s="28" t="s">
        <v>32</v>
      </c>
      <c r="K45" s="13"/>
      <c r="L45" s="14" t="s">
        <v>7</v>
      </c>
      <c r="M45" s="15" t="s">
        <v>40</v>
      </c>
      <c r="N45" s="1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8" t="s">
        <v>10</v>
      </c>
      <c r="C46" s="19" t="s">
        <v>41</v>
      </c>
      <c r="E46" s="20" t="s">
        <v>12</v>
      </c>
      <c r="F46" s="21" t="s">
        <v>40</v>
      </c>
      <c r="G46" s="22"/>
      <c r="H46" s="1"/>
      <c r="I46" s="18" t="s">
        <v>10</v>
      </c>
      <c r="J46" s="19" t="s">
        <v>41</v>
      </c>
      <c r="L46" s="20" t="s">
        <v>12</v>
      </c>
      <c r="M46" s="21" t="s">
        <v>40</v>
      </c>
      <c r="N46" s="2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6" t="s">
        <v>42</v>
      </c>
      <c r="G47" s="23"/>
      <c r="H47" s="1"/>
      <c r="I47" s="37" t="s">
        <v>43</v>
      </c>
      <c r="N47" s="2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3.75" customHeight="1">
      <c r="A48" s="1"/>
      <c r="B48" s="24"/>
      <c r="G48" s="23"/>
      <c r="H48" s="1"/>
      <c r="I48" s="38" t="s">
        <v>44</v>
      </c>
      <c r="N48" s="2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6" t="s">
        <v>45</v>
      </c>
      <c r="G49" s="23"/>
      <c r="H49" s="1"/>
      <c r="I49" s="36" t="s">
        <v>45</v>
      </c>
      <c r="N49" s="2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88.5" customHeight="1">
      <c r="A50" s="1"/>
      <c r="B50" s="31"/>
      <c r="C50" s="7"/>
      <c r="D50" s="7"/>
      <c r="E50" s="7"/>
      <c r="F50" s="7"/>
      <c r="G50" s="27"/>
      <c r="H50" s="1"/>
      <c r="I50" s="26" t="s">
        <v>46</v>
      </c>
      <c r="J50" s="7"/>
      <c r="K50" s="7"/>
      <c r="L50" s="7"/>
      <c r="M50" s="7"/>
      <c r="N50" s="27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1" t="s">
        <v>5</v>
      </c>
      <c r="C52" s="32" t="s">
        <v>18</v>
      </c>
      <c r="D52" s="13"/>
      <c r="E52" s="14" t="s">
        <v>7</v>
      </c>
      <c r="F52" s="29"/>
      <c r="G52" s="16"/>
      <c r="H52" s="1"/>
      <c r="I52" s="11" t="s">
        <v>5</v>
      </c>
      <c r="J52" s="28" t="s">
        <v>19</v>
      </c>
      <c r="K52" s="13"/>
      <c r="L52" s="14" t="s">
        <v>7</v>
      </c>
      <c r="M52" s="29"/>
      <c r="N52" s="1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8" t="s">
        <v>10</v>
      </c>
      <c r="C53" s="19" t="s">
        <v>33</v>
      </c>
      <c r="E53" s="20" t="s">
        <v>12</v>
      </c>
      <c r="F53" s="30" t="s">
        <v>13</v>
      </c>
      <c r="G53" s="22"/>
      <c r="H53" s="1"/>
      <c r="I53" s="18" t="s">
        <v>10</v>
      </c>
      <c r="J53" s="19" t="s">
        <v>33</v>
      </c>
      <c r="L53" s="20" t="s">
        <v>12</v>
      </c>
      <c r="M53" s="30" t="s">
        <v>13</v>
      </c>
      <c r="N53" s="2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8" t="s">
        <v>14</v>
      </c>
      <c r="G54" s="23"/>
      <c r="H54" s="1"/>
      <c r="I54" s="18" t="s">
        <v>14</v>
      </c>
      <c r="N54" s="2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4" t="s">
        <v>47</v>
      </c>
      <c r="G55" s="23"/>
      <c r="H55" s="1"/>
      <c r="I55" s="24" t="s">
        <v>48</v>
      </c>
      <c r="N55" s="2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8" t="s">
        <v>16</v>
      </c>
      <c r="G56" s="23"/>
      <c r="H56" s="1"/>
      <c r="I56" s="18" t="s">
        <v>16</v>
      </c>
      <c r="N56" s="2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2.25" customHeight="1">
      <c r="A57" s="1"/>
      <c r="B57" s="33"/>
      <c r="C57" s="7"/>
      <c r="D57" s="7"/>
      <c r="E57" s="7"/>
      <c r="F57" s="7"/>
      <c r="G57" s="27"/>
      <c r="H57" s="1"/>
      <c r="I57" s="34" t="s">
        <v>49</v>
      </c>
      <c r="J57" s="7"/>
      <c r="K57" s="7"/>
      <c r="L57" s="7"/>
      <c r="M57" s="7"/>
      <c r="N57" s="2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1" t="s">
        <v>5</v>
      </c>
      <c r="C59" s="28">
        <v>3.0</v>
      </c>
      <c r="D59" s="13"/>
      <c r="E59" s="14" t="s">
        <v>7</v>
      </c>
      <c r="F59" s="29"/>
      <c r="G59" s="1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8" t="s">
        <v>10</v>
      </c>
      <c r="C60" s="19" t="s">
        <v>50</v>
      </c>
      <c r="E60" s="20" t="s">
        <v>12</v>
      </c>
      <c r="F60" s="21" t="s">
        <v>26</v>
      </c>
      <c r="G60" s="2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8" t="s">
        <v>14</v>
      </c>
      <c r="G61" s="2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4" t="s">
        <v>51</v>
      </c>
      <c r="G62" s="2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8" t="s">
        <v>16</v>
      </c>
      <c r="G63" s="2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0.0" customHeight="1">
      <c r="A64" s="1"/>
      <c r="B64" s="34" t="s">
        <v>52</v>
      </c>
      <c r="C64" s="7"/>
      <c r="D64" s="7"/>
      <c r="E64" s="7"/>
      <c r="F64" s="7"/>
      <c r="G64" s="27"/>
      <c r="H64" s="1"/>
      <c r="I64" s="1"/>
      <c r="J64" s="1"/>
      <c r="K64" s="1"/>
      <c r="L64" s="1" t="s">
        <v>53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9" t="s">
        <v>54</v>
      </c>
      <c r="H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1" t="s">
        <v>5</v>
      </c>
      <c r="C68" s="28" t="s">
        <v>31</v>
      </c>
      <c r="D68" s="13"/>
      <c r="E68" s="14" t="s">
        <v>7</v>
      </c>
      <c r="F68" s="15" t="s">
        <v>40</v>
      </c>
      <c r="G68" s="16"/>
      <c r="H68" s="1"/>
      <c r="I68" s="11" t="s">
        <v>5</v>
      </c>
      <c r="J68" s="28" t="s">
        <v>32</v>
      </c>
      <c r="K68" s="13"/>
      <c r="L68" s="14" t="s">
        <v>7</v>
      </c>
      <c r="M68" s="15" t="s">
        <v>40</v>
      </c>
      <c r="N68" s="1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8" t="s">
        <v>10</v>
      </c>
      <c r="C69" s="19" t="s">
        <v>41</v>
      </c>
      <c r="E69" s="20" t="s">
        <v>12</v>
      </c>
      <c r="F69" s="21" t="s">
        <v>40</v>
      </c>
      <c r="G69" s="22"/>
      <c r="H69" s="1"/>
      <c r="I69" s="18" t="s">
        <v>10</v>
      </c>
      <c r="J69" s="19" t="s">
        <v>41</v>
      </c>
      <c r="L69" s="20" t="s">
        <v>12</v>
      </c>
      <c r="M69" s="21" t="s">
        <v>40</v>
      </c>
      <c r="N69" s="2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36" t="s">
        <v>42</v>
      </c>
      <c r="G70" s="23"/>
      <c r="H70" s="1"/>
      <c r="I70" s="36" t="s">
        <v>55</v>
      </c>
      <c r="N70" s="2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4"/>
      <c r="G71" s="23"/>
      <c r="H71" s="1"/>
      <c r="I71" s="39" t="s">
        <v>56</v>
      </c>
      <c r="N71" s="2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36" t="s">
        <v>45</v>
      </c>
      <c r="G72" s="23"/>
      <c r="H72" s="1"/>
      <c r="I72" s="36" t="s">
        <v>45</v>
      </c>
      <c r="N72" s="2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31"/>
      <c r="C73" s="7"/>
      <c r="D73" s="7"/>
      <c r="E73" s="7"/>
      <c r="F73" s="7"/>
      <c r="G73" s="27"/>
      <c r="H73" s="1"/>
      <c r="I73" s="26" t="s">
        <v>57</v>
      </c>
      <c r="J73" s="7"/>
      <c r="K73" s="7"/>
      <c r="L73" s="7"/>
      <c r="M73" s="7"/>
      <c r="N73" s="27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1" t="s">
        <v>5</v>
      </c>
      <c r="C75" s="32" t="s">
        <v>18</v>
      </c>
      <c r="D75" s="13"/>
      <c r="E75" s="14" t="s">
        <v>7</v>
      </c>
      <c r="F75" s="29"/>
      <c r="G75" s="16"/>
      <c r="H75" s="1"/>
      <c r="I75" s="11" t="s">
        <v>5</v>
      </c>
      <c r="J75" s="28" t="s">
        <v>19</v>
      </c>
      <c r="K75" s="13"/>
      <c r="L75" s="14" t="s">
        <v>7</v>
      </c>
      <c r="M75" s="29"/>
      <c r="N75" s="1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8" t="s">
        <v>10</v>
      </c>
      <c r="C76" s="19" t="s">
        <v>33</v>
      </c>
      <c r="E76" s="20" t="s">
        <v>12</v>
      </c>
      <c r="F76" s="30" t="s">
        <v>13</v>
      </c>
      <c r="G76" s="22"/>
      <c r="H76" s="1"/>
      <c r="I76" s="18" t="s">
        <v>10</v>
      </c>
      <c r="J76" s="19" t="s">
        <v>33</v>
      </c>
      <c r="L76" s="20" t="s">
        <v>12</v>
      </c>
      <c r="M76" s="30" t="s">
        <v>13</v>
      </c>
      <c r="N76" s="2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8" t="s">
        <v>14</v>
      </c>
      <c r="G77" s="23"/>
      <c r="H77" s="1"/>
      <c r="I77" s="18" t="s">
        <v>14</v>
      </c>
      <c r="N77" s="2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4" t="s">
        <v>58</v>
      </c>
      <c r="G78" s="23"/>
      <c r="H78" s="1"/>
      <c r="I78" s="24" t="s">
        <v>59</v>
      </c>
      <c r="N78" s="2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8" t="s">
        <v>16</v>
      </c>
      <c r="G79" s="23"/>
      <c r="H79" s="1"/>
      <c r="I79" s="18" t="s">
        <v>16</v>
      </c>
      <c r="N79" s="2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36.75" customHeight="1">
      <c r="A80" s="1"/>
      <c r="B80" s="33"/>
      <c r="C80" s="7"/>
      <c r="D80" s="7"/>
      <c r="E80" s="7"/>
      <c r="F80" s="7"/>
      <c r="G80" s="27"/>
      <c r="H80" s="1"/>
      <c r="I80" s="34" t="s">
        <v>60</v>
      </c>
      <c r="J80" s="7"/>
      <c r="K80" s="7"/>
      <c r="L80" s="7"/>
      <c r="M80" s="7"/>
      <c r="N80" s="27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1" t="s">
        <v>5</v>
      </c>
      <c r="C82" s="28">
        <v>3.0</v>
      </c>
      <c r="D82" s="13"/>
      <c r="E82" s="14" t="s">
        <v>7</v>
      </c>
      <c r="F82" s="29" t="s">
        <v>61</v>
      </c>
      <c r="G82" s="1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8" t="s">
        <v>10</v>
      </c>
      <c r="C83" s="19" t="s">
        <v>62</v>
      </c>
      <c r="E83" s="20" t="s">
        <v>12</v>
      </c>
      <c r="F83" s="21" t="s">
        <v>26</v>
      </c>
      <c r="G83" s="2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8" t="s">
        <v>14</v>
      </c>
      <c r="G84" s="2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84.0" customHeight="1">
      <c r="A85" s="1"/>
      <c r="B85" s="24" t="s">
        <v>63</v>
      </c>
      <c r="G85" s="2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8" t="s">
        <v>16</v>
      </c>
      <c r="G86" s="2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38.25" customHeight="1">
      <c r="A87" s="1"/>
      <c r="B87" s="34" t="s">
        <v>64</v>
      </c>
      <c r="C87" s="7"/>
      <c r="D87" s="7"/>
      <c r="E87" s="7"/>
      <c r="F87" s="7"/>
      <c r="G87" s="27"/>
      <c r="H87" s="1"/>
      <c r="I87" s="1"/>
      <c r="J87" s="1"/>
      <c r="K87" s="1"/>
      <c r="L87" s="1" t="s">
        <v>53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9" t="s">
        <v>65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1" t="s">
        <v>5</v>
      </c>
      <c r="C91" s="28">
        <v>1.0</v>
      </c>
      <c r="D91" s="13"/>
      <c r="E91" s="14" t="s">
        <v>7</v>
      </c>
      <c r="F91" s="15" t="s">
        <v>66</v>
      </c>
      <c r="G91" s="1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8" t="s">
        <v>10</v>
      </c>
      <c r="C92" s="19" t="s">
        <v>62</v>
      </c>
      <c r="E92" s="20" t="s">
        <v>12</v>
      </c>
      <c r="F92" s="21" t="s">
        <v>67</v>
      </c>
      <c r="G92" s="2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8" t="s">
        <v>14</v>
      </c>
      <c r="G93" s="2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16.25" customHeight="1">
      <c r="A94" s="1"/>
      <c r="B94" s="24" t="s">
        <v>68</v>
      </c>
      <c r="G94" s="2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8" t="s">
        <v>16</v>
      </c>
      <c r="G95" s="2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34" t="s">
        <v>69</v>
      </c>
      <c r="C96" s="7"/>
      <c r="D96" s="7"/>
      <c r="E96" s="7"/>
      <c r="F96" s="7"/>
      <c r="G96" s="2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</sheetData>
  <mergeCells count="150">
    <mergeCell ref="I31:N31"/>
    <mergeCell ref="I32:N32"/>
    <mergeCell ref="I33:N33"/>
    <mergeCell ref="I34:N34"/>
    <mergeCell ref="J36:K36"/>
    <mergeCell ref="M36:N36"/>
    <mergeCell ref="J37:K37"/>
    <mergeCell ref="I38:N38"/>
    <mergeCell ref="I39:N39"/>
    <mergeCell ref="I40:N40"/>
    <mergeCell ref="I41:N41"/>
    <mergeCell ref="J45:K45"/>
    <mergeCell ref="M45:N45"/>
    <mergeCell ref="J46:K46"/>
    <mergeCell ref="I47:N47"/>
    <mergeCell ref="I48:N48"/>
    <mergeCell ref="I49:N49"/>
    <mergeCell ref="I50:N50"/>
    <mergeCell ref="J52:K52"/>
    <mergeCell ref="M52:N52"/>
    <mergeCell ref="J53:K53"/>
    <mergeCell ref="I54:N54"/>
    <mergeCell ref="I55:N55"/>
    <mergeCell ref="I56:N56"/>
    <mergeCell ref="I57:N57"/>
    <mergeCell ref="J68:K68"/>
    <mergeCell ref="M68:N68"/>
    <mergeCell ref="J69:K69"/>
    <mergeCell ref="I77:N77"/>
    <mergeCell ref="I78:N78"/>
    <mergeCell ref="I79:N79"/>
    <mergeCell ref="I80:N80"/>
    <mergeCell ref="I70:N70"/>
    <mergeCell ref="I71:N71"/>
    <mergeCell ref="I72:N72"/>
    <mergeCell ref="I73:N73"/>
    <mergeCell ref="J75:K75"/>
    <mergeCell ref="M75:N75"/>
    <mergeCell ref="J76:K76"/>
    <mergeCell ref="C5:D5"/>
    <mergeCell ref="C6:D6"/>
    <mergeCell ref="B1:C1"/>
    <mergeCell ref="D1:N1"/>
    <mergeCell ref="B2:C2"/>
    <mergeCell ref="D2:N2"/>
    <mergeCell ref="A4:G4"/>
    <mergeCell ref="F5:G5"/>
    <mergeCell ref="I5:N7"/>
    <mergeCell ref="C12:D12"/>
    <mergeCell ref="C13:D13"/>
    <mergeCell ref="B7:G7"/>
    <mergeCell ref="B8:G8"/>
    <mergeCell ref="B9:G9"/>
    <mergeCell ref="B10:G10"/>
    <mergeCell ref="J12:K12"/>
    <mergeCell ref="M12:N12"/>
    <mergeCell ref="J13:K13"/>
    <mergeCell ref="F12:G12"/>
    <mergeCell ref="B14:G14"/>
    <mergeCell ref="B15:G15"/>
    <mergeCell ref="B16:G16"/>
    <mergeCell ref="B17:G17"/>
    <mergeCell ref="C19:D19"/>
    <mergeCell ref="F19:G19"/>
    <mergeCell ref="I14:N14"/>
    <mergeCell ref="I15:N15"/>
    <mergeCell ref="I16:N16"/>
    <mergeCell ref="I17:N17"/>
    <mergeCell ref="J19:K19"/>
    <mergeCell ref="M19:N19"/>
    <mergeCell ref="J20:K20"/>
    <mergeCell ref="I21:N21"/>
    <mergeCell ref="I22:N22"/>
    <mergeCell ref="I23:N23"/>
    <mergeCell ref="I24:N24"/>
    <mergeCell ref="J29:K29"/>
    <mergeCell ref="M29:N29"/>
    <mergeCell ref="J30:K30"/>
    <mergeCell ref="C68:D68"/>
    <mergeCell ref="C69:D69"/>
    <mergeCell ref="C60:D60"/>
    <mergeCell ref="B61:G61"/>
    <mergeCell ref="B62:G62"/>
    <mergeCell ref="B63:G63"/>
    <mergeCell ref="B64:G64"/>
    <mergeCell ref="A67:G67"/>
    <mergeCell ref="F68:G68"/>
    <mergeCell ref="B77:G77"/>
    <mergeCell ref="B78:G78"/>
    <mergeCell ref="B79:G79"/>
    <mergeCell ref="B80:G80"/>
    <mergeCell ref="C82:D82"/>
    <mergeCell ref="F82:G82"/>
    <mergeCell ref="C83:D83"/>
    <mergeCell ref="C92:D92"/>
    <mergeCell ref="B93:G93"/>
    <mergeCell ref="B94:G94"/>
    <mergeCell ref="B95:G95"/>
    <mergeCell ref="B96:G96"/>
    <mergeCell ref="B84:G84"/>
    <mergeCell ref="B85:G85"/>
    <mergeCell ref="B86:G86"/>
    <mergeCell ref="B87:G87"/>
    <mergeCell ref="A90:G90"/>
    <mergeCell ref="C91:D91"/>
    <mergeCell ref="F91:G91"/>
    <mergeCell ref="C29:D29"/>
    <mergeCell ref="C30:D30"/>
    <mergeCell ref="C20:D20"/>
    <mergeCell ref="B21:G21"/>
    <mergeCell ref="B22:G22"/>
    <mergeCell ref="B23:G23"/>
    <mergeCell ref="B24:G24"/>
    <mergeCell ref="A27:G27"/>
    <mergeCell ref="F29:G29"/>
    <mergeCell ref="B31:G31"/>
    <mergeCell ref="B32:G32"/>
    <mergeCell ref="B33:G33"/>
    <mergeCell ref="B34:G34"/>
    <mergeCell ref="C36:D36"/>
    <mergeCell ref="F36:G36"/>
    <mergeCell ref="C37:D37"/>
    <mergeCell ref="B38:G38"/>
    <mergeCell ref="B39:G39"/>
    <mergeCell ref="B40:G40"/>
    <mergeCell ref="B41:G41"/>
    <mergeCell ref="A44:G44"/>
    <mergeCell ref="C45:D45"/>
    <mergeCell ref="F45:G45"/>
    <mergeCell ref="C46:D46"/>
    <mergeCell ref="B47:G47"/>
    <mergeCell ref="B48:G48"/>
    <mergeCell ref="B49:G49"/>
    <mergeCell ref="B50:G50"/>
    <mergeCell ref="C52:D52"/>
    <mergeCell ref="F52:G52"/>
    <mergeCell ref="C53:D53"/>
    <mergeCell ref="B54:G54"/>
    <mergeCell ref="B55:G55"/>
    <mergeCell ref="B56:G56"/>
    <mergeCell ref="B57:G57"/>
    <mergeCell ref="C59:D59"/>
    <mergeCell ref="F59:G59"/>
    <mergeCell ref="B70:G70"/>
    <mergeCell ref="B71:G71"/>
    <mergeCell ref="B72:G72"/>
    <mergeCell ref="B73:G73"/>
    <mergeCell ref="C75:D75"/>
    <mergeCell ref="F75:G75"/>
    <mergeCell ref="C76:D76"/>
  </mergeCells>
  <dataValidations>
    <dataValidation type="list" allowBlank="1" sqref="F6 F13 M13 F20 M20 F30 M30 F37 M37 F46 M46 F53 M53 F60 F69 M69 F76 M76 F83 F92">
      <formula1>"Autoestudo,Instrução,Desenvolvimento,Apresentação"</formula1>
    </dataValidation>
  </dataValidations>
  <hyperlinks>
    <hyperlink r:id="rId1" ref="D2"/>
    <hyperlink r:id="rId2" ref="I47"/>
    <hyperlink r:id="rId3" ref="I48"/>
    <hyperlink r:id="rId4" ref="I71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8.71"/>
    <col customWidth="1" min="3" max="3" width="23.43"/>
    <col customWidth="1" min="4" max="5" width="18.86"/>
    <col customWidth="1" min="6" max="6" width="19.29"/>
    <col customWidth="1" min="7" max="7" width="20.43"/>
  </cols>
  <sheetData>
    <row r="1" ht="23.25" customHeight="1">
      <c r="A1" s="1"/>
      <c r="B1" s="40" t="s">
        <v>0</v>
      </c>
      <c r="C1" s="41" t="s">
        <v>70</v>
      </c>
      <c r="D1" s="5"/>
      <c r="E1" s="5"/>
      <c r="F1" s="5"/>
      <c r="G1" s="3"/>
      <c r="H1" s="42"/>
      <c r="I1" s="42"/>
      <c r="J1" s="4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0" t="s">
        <v>2</v>
      </c>
      <c r="C2" s="43" t="s">
        <v>71</v>
      </c>
      <c r="D2" s="5"/>
      <c r="E2" s="5"/>
      <c r="F2" s="5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4" t="s">
        <v>72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5" t="s">
        <v>73</v>
      </c>
      <c r="C5" s="45" t="s">
        <v>74</v>
      </c>
      <c r="D5" s="45" t="s">
        <v>75</v>
      </c>
      <c r="E5" s="45" t="s">
        <v>76</v>
      </c>
      <c r="F5" s="45" t="s">
        <v>77</v>
      </c>
      <c r="G5" s="45" t="s">
        <v>78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79</v>
      </c>
      <c r="B6" s="46" t="s">
        <v>80</v>
      </c>
      <c r="C6" s="46" t="s">
        <v>81</v>
      </c>
      <c r="D6" s="46" t="s">
        <v>82</v>
      </c>
      <c r="E6" s="46" t="s">
        <v>83</v>
      </c>
      <c r="F6" s="46" t="s">
        <v>84</v>
      </c>
      <c r="G6" s="46" t="s">
        <v>85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6" t="s">
        <v>86</v>
      </c>
      <c r="C7" s="46" t="s">
        <v>87</v>
      </c>
      <c r="D7" s="46" t="s">
        <v>88</v>
      </c>
      <c r="E7" s="47" t="s">
        <v>89</v>
      </c>
      <c r="F7" s="46" t="s">
        <v>90</v>
      </c>
      <c r="G7" s="46" t="s">
        <v>91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6" t="s">
        <v>92</v>
      </c>
      <c r="C8" s="46" t="s">
        <v>93</v>
      </c>
      <c r="D8" s="46" t="s">
        <v>94</v>
      </c>
      <c r="E8" s="47" t="s">
        <v>95</v>
      </c>
      <c r="F8" s="46" t="s">
        <v>96</v>
      </c>
      <c r="G8" s="46" t="s">
        <v>97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6" t="s">
        <v>98</v>
      </c>
      <c r="C9" s="46" t="s">
        <v>99</v>
      </c>
      <c r="D9" s="46" t="s">
        <v>100</v>
      </c>
      <c r="E9" s="46" t="s">
        <v>101</v>
      </c>
      <c r="F9" s="46" t="s">
        <v>102</v>
      </c>
      <c r="G9" s="46" t="s">
        <v>103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6" t="s">
        <v>104</v>
      </c>
      <c r="C10" s="46" t="s">
        <v>105</v>
      </c>
      <c r="D10" s="46" t="s">
        <v>106</v>
      </c>
      <c r="E10" s="46" t="s">
        <v>107</v>
      </c>
      <c r="F10" s="46" t="s">
        <v>108</v>
      </c>
      <c r="G10" s="46" t="s">
        <v>109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6" t="s">
        <v>110</v>
      </c>
      <c r="C11" s="48" t="s">
        <v>67</v>
      </c>
      <c r="D11" s="46" t="s">
        <v>111</v>
      </c>
      <c r="E11" s="46" t="s">
        <v>112</v>
      </c>
      <c r="F11" s="46" t="s">
        <v>113</v>
      </c>
      <c r="G11" s="46" t="s">
        <v>114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">
        <v>67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">
        <v>115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">
        <v>116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 t="s">
        <v>117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</sheetData>
  <mergeCells count="3">
    <mergeCell ref="C1:G1"/>
    <mergeCell ref="C2:G2"/>
    <mergeCell ref="A4:G4"/>
  </mergeCells>
  <conditionalFormatting sqref="A1:Z933">
    <cfRule type="cellIs" dxfId="0" priority="1" operator="equal">
      <formula>"Instrução"</formula>
    </cfRule>
  </conditionalFormatting>
  <conditionalFormatting sqref="A1:Z933">
    <cfRule type="cellIs" dxfId="1" priority="2" operator="equal">
      <formula>"Autoestudo"</formula>
    </cfRule>
  </conditionalFormatting>
  <conditionalFormatting sqref="A1:Z933">
    <cfRule type="cellIs" dxfId="2" priority="3" operator="equal">
      <formula>"Apresentação"</formula>
    </cfRule>
  </conditionalFormatting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8.71"/>
    <col customWidth="1" min="3" max="3" width="23.43"/>
    <col customWidth="1" min="4" max="5" width="18.86"/>
  </cols>
  <sheetData>
    <row r="1" ht="23.25" customHeight="1">
      <c r="A1" s="1"/>
      <c r="B1" s="40" t="s">
        <v>0</v>
      </c>
      <c r="C1" s="41" t="s">
        <v>70</v>
      </c>
      <c r="D1" s="5"/>
      <c r="E1" s="3"/>
      <c r="F1" s="42"/>
      <c r="G1" s="42"/>
      <c r="H1" s="4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40" t="s">
        <v>2</v>
      </c>
      <c r="C2" s="43" t="s">
        <v>71</v>
      </c>
      <c r="D2" s="5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44" t="s">
        <v>118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45" t="s">
        <v>119</v>
      </c>
      <c r="C5" s="45" t="s">
        <v>120</v>
      </c>
      <c r="D5" s="45" t="s">
        <v>121</v>
      </c>
      <c r="E5" s="49" t="s">
        <v>122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 t="s">
        <v>79</v>
      </c>
      <c r="B6" s="46" t="s">
        <v>123</v>
      </c>
      <c r="C6" s="50">
        <v>10.0</v>
      </c>
      <c r="D6" s="51">
        <v>141.23</v>
      </c>
      <c r="E6" s="51">
        <f t="shared" ref="E6:E7" si="1">D6*C6</f>
        <v>1412.3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46" t="s">
        <v>124</v>
      </c>
      <c r="C7" s="50">
        <v>10.0</v>
      </c>
      <c r="D7" s="51">
        <v>4.94</v>
      </c>
      <c r="E7" s="51">
        <f t="shared" si="1"/>
        <v>49.4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52" t="s">
        <v>125</v>
      </c>
      <c r="C8" s="50">
        <v>1.0</v>
      </c>
      <c r="D8" s="53" t="s">
        <v>126</v>
      </c>
      <c r="E8" s="53" t="s">
        <v>126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52" t="s">
        <v>127</v>
      </c>
      <c r="C9" s="50">
        <v>5.0</v>
      </c>
      <c r="D9" s="51"/>
      <c r="E9" s="5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66.0" customHeight="1">
      <c r="A10" s="1"/>
      <c r="B10" s="52" t="s">
        <v>128</v>
      </c>
      <c r="C10" s="50" t="s">
        <v>129</v>
      </c>
      <c r="D10" s="51"/>
      <c r="E10" s="5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52" t="s">
        <v>130</v>
      </c>
      <c r="C11" s="50" t="s">
        <v>131</v>
      </c>
      <c r="D11" s="51"/>
      <c r="E11" s="5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52" t="s">
        <v>132</v>
      </c>
      <c r="C12" s="50" t="s">
        <v>131</v>
      </c>
      <c r="D12" s="51"/>
      <c r="E12" s="5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52" t="s">
        <v>133</v>
      </c>
      <c r="C13" s="50">
        <v>10.0</v>
      </c>
      <c r="D13" s="51"/>
      <c r="E13" s="5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52" t="s">
        <v>134</v>
      </c>
      <c r="C14" s="50">
        <v>5.0</v>
      </c>
      <c r="D14" s="51"/>
      <c r="E14" s="5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52" t="s">
        <v>135</v>
      </c>
      <c r="C15" s="50">
        <v>5.0</v>
      </c>
      <c r="D15" s="51"/>
      <c r="E15" s="5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54" t="s">
        <v>136</v>
      </c>
      <c r="C16" s="5"/>
      <c r="D16" s="3"/>
      <c r="E16" s="55">
        <f>SUM(E6:E11)</f>
        <v>1461.7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</sheetData>
  <mergeCells count="4">
    <mergeCell ref="C1:E1"/>
    <mergeCell ref="C2:E2"/>
    <mergeCell ref="A4:E4"/>
    <mergeCell ref="B16:D16"/>
  </mergeCells>
  <conditionalFormatting sqref="A1:X931">
    <cfRule type="cellIs" dxfId="0" priority="1" operator="equal">
      <formula>"Instrução"</formula>
    </cfRule>
  </conditionalFormatting>
  <conditionalFormatting sqref="A1:X931">
    <cfRule type="cellIs" dxfId="1" priority="2" operator="equal">
      <formula>"Autoestudo"</formula>
    </cfRule>
  </conditionalFormatting>
  <conditionalFormatting sqref="A1:X931">
    <cfRule type="cellIs" dxfId="2" priority="3" operator="equal">
      <formula>"Apresentação"</formula>
    </cfRule>
  </conditionalFormatting>
  <hyperlinks>
    <hyperlink r:id="rId1" ref="C2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2023-07-28T20:33:48Z</dcterms:created>
  <dc:creator>Inteli</dc:creator>
</cp:coreProperties>
</file>